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h\Documents\Excel DIO\"/>
    </mc:Choice>
  </mc:AlternateContent>
  <xr:revisionPtr revIDLastSave="0" documentId="13_ncr:1_{5ABAC447-060F-4712-BCD6-2E95D3567472}" xr6:coauthVersionLast="47" xr6:coauthVersionMax="47" xr10:uidLastSave="{00000000-0000-0000-0000-000000000000}"/>
  <bookViews>
    <workbookView xWindow="-120" yWindow="-120" windowWidth="29040" windowHeight="15720" xr2:uid="{EDA1BB7A-4A3A-4E50-9C9E-CC9D2A9D9415}"/>
  </bookViews>
  <sheets>
    <sheet name="Inicio" sheetId="1" r:id="rId1"/>
    <sheet name="chaves" sheetId="2" state="hidden" r:id="rId2"/>
  </sheets>
  <definedNames>
    <definedName name="aporte">Inicio!$D$17</definedName>
    <definedName name="qtd_anos">Inicio!$D$18</definedName>
    <definedName name="redimento_carteira">Inicio!$D$12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1" l="1"/>
  <c r="D35" i="1" s="1"/>
  <c r="C36" i="1"/>
  <c r="D36" i="1" s="1"/>
  <c r="C37" i="1"/>
  <c r="D37" i="1" s="1"/>
  <c r="C38" i="1"/>
  <c r="D38" i="1" s="1"/>
  <c r="C39" i="1"/>
  <c r="D39" i="1" s="1"/>
  <c r="C34" i="1"/>
  <c r="D34" i="1" s="1"/>
  <c r="A20" i="2"/>
  <c r="A19" i="2"/>
  <c r="A18" i="2"/>
  <c r="A17" i="2"/>
  <c r="A16" i="2"/>
  <c r="A15" i="2"/>
  <c r="A14" i="2"/>
  <c r="A13" i="2"/>
  <c r="A12" i="2"/>
  <c r="A11" i="2"/>
  <c r="A10" i="2"/>
  <c r="A9" i="2"/>
  <c r="A4" i="2"/>
  <c r="A5" i="2"/>
  <c r="A6" i="2"/>
  <c r="A7" i="2"/>
  <c r="A8" i="2"/>
  <c r="A3" i="2"/>
  <c r="D20" i="1" l="1"/>
  <c r="D21" i="1" s="1"/>
  <c r="C25" i="1"/>
  <c r="D25" i="1" s="1"/>
  <c r="C26" i="1"/>
  <c r="D26" i="1" s="1"/>
  <c r="C27" i="1"/>
  <c r="D27" i="1" s="1"/>
  <c r="C28" i="1"/>
  <c r="D28" i="1" s="1"/>
  <c r="C24" i="1"/>
  <c r="D24" i="1" s="1"/>
  <c r="D19" i="1"/>
  <c r="D13" i="1"/>
</calcChain>
</file>

<file path=xl/sharedStrings.xml><?xml version="1.0" encoding="utf-8"?>
<sst xmlns="http://schemas.openxmlformats.org/spreadsheetml/2006/main" count="70" uniqueCount="36">
  <si>
    <t>Investimento Mensal</t>
  </si>
  <si>
    <t>Quanto investir por mês?</t>
  </si>
  <si>
    <t>Por quantos anos?</t>
  </si>
  <si>
    <t>Taxa de rendimento mensal?</t>
  </si>
  <si>
    <t>Patrimônio acumulado?</t>
  </si>
  <si>
    <t xml:space="preserve">Dividendos mensais? </t>
  </si>
  <si>
    <t>Em 2 anos</t>
  </si>
  <si>
    <t>Em 5 anos</t>
  </si>
  <si>
    <t xml:space="preserve">Em 10 anos </t>
  </si>
  <si>
    <t>Em 20 anos</t>
  </si>
  <si>
    <t>Em 30 anos</t>
  </si>
  <si>
    <t>CENÁRIOS</t>
  </si>
  <si>
    <t>TOTAL</t>
  </si>
  <si>
    <t>DIVIDENDOS</t>
  </si>
  <si>
    <t>CONFIGURAÇÕES</t>
  </si>
  <si>
    <t>Rendimento Carteira</t>
  </si>
  <si>
    <t>Salário</t>
  </si>
  <si>
    <t>PAPEL</t>
  </si>
  <si>
    <t>TIJOLO</t>
  </si>
  <si>
    <t>HÍBRIDOS</t>
  </si>
  <si>
    <t>FOFs</t>
  </si>
  <si>
    <t>DESENVOLVIMENTO</t>
  </si>
  <si>
    <t>HOTELARIAS</t>
  </si>
  <si>
    <t>PERFIL</t>
  </si>
  <si>
    <t>VALOR A SER INVESTIDO POR MÊS</t>
  </si>
  <si>
    <t>Moderado</t>
  </si>
  <si>
    <t>Conservador</t>
  </si>
  <si>
    <t>TIPO DE FII</t>
  </si>
  <si>
    <t>VALORES</t>
  </si>
  <si>
    <t>PERCENTUAL SUGERIDO</t>
  </si>
  <si>
    <t>Agressivo</t>
  </si>
  <si>
    <t>Sugestão de Investimento (30%)</t>
  </si>
  <si>
    <t>Chaves</t>
  </si>
  <si>
    <t>Perfil</t>
  </si>
  <si>
    <t>tipo de fii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</si>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</sst>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&quot;R$&quot;\ #,##0.000;[Red]\-&quot;R$&quot;\ #,##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hair">
        <color theme="0" tint="-4.9989318521683403E-2"/>
      </right>
      <top style="medium">
        <color theme="1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medium">
        <color theme="1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medium">
        <color theme="1"/>
      </right>
      <top style="medium">
        <color theme="1"/>
      </top>
      <bottom style="hair">
        <color theme="0" tint="-4.9989318521683403E-2"/>
      </bottom>
      <diagonal/>
    </border>
    <border>
      <left style="medium">
        <color theme="1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medium">
        <color theme="1"/>
      </right>
      <top style="hair">
        <color theme="0" tint="-4.9989318521683403E-2"/>
      </top>
      <bottom style="hair">
        <color theme="0" tint="-4.9989318521683403E-2"/>
      </bottom>
      <diagonal/>
    </border>
    <border>
      <left style="medium">
        <color theme="1"/>
      </left>
      <right style="hair">
        <color theme="0" tint="-4.9989318521683403E-2"/>
      </right>
      <top style="hair">
        <color theme="0" tint="-4.9989318521683403E-2"/>
      </top>
      <bottom style="medium">
        <color theme="1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medium">
        <color theme="1"/>
      </bottom>
      <diagonal/>
    </border>
    <border>
      <left style="hair">
        <color theme="0" tint="-4.9989318521683403E-2"/>
      </left>
      <right style="medium">
        <color theme="1"/>
      </right>
      <top style="hair">
        <color theme="0" tint="-4.9989318521683403E-2"/>
      </top>
      <bottom style="medium">
        <color theme="1"/>
      </bottom>
      <diagonal/>
    </border>
    <border>
      <left style="medium">
        <color theme="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theme="1"/>
      </left>
      <right style="hair">
        <color theme="0" tint="-0.14996795556505021"/>
      </right>
      <top style="hair">
        <color theme="0" tint="-0.14996795556505021"/>
      </top>
      <bottom style="medium">
        <color theme="1"/>
      </bottom>
      <diagonal/>
    </border>
    <border>
      <left style="medium">
        <color theme="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theme="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theme="1"/>
      </bottom>
      <diagonal/>
    </border>
    <border>
      <left/>
      <right/>
      <top/>
      <bottom style="thick">
        <color auto="1"/>
      </bottom>
      <diagonal/>
    </border>
    <border>
      <left style="hair">
        <color theme="0" tint="-0.14996795556505021"/>
      </left>
      <right style="medium">
        <color theme="1"/>
      </right>
      <top/>
      <bottom style="thick">
        <color theme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48">
    <xf numFmtId="0" fontId="0" fillId="0" borderId="0" xfId="0"/>
    <xf numFmtId="0" fontId="4" fillId="0" borderId="0" xfId="0" applyFont="1"/>
    <xf numFmtId="0" fontId="5" fillId="3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4" borderId="13" xfId="0" applyFont="1" applyFill="1" applyBorder="1" applyAlignment="1">
      <alignment horizontal="left" indent="3"/>
    </xf>
    <xf numFmtId="0" fontId="6" fillId="4" borderId="11" xfId="0" applyFont="1" applyFill="1" applyBorder="1" applyAlignment="1">
      <alignment horizontal="left" indent="3"/>
    </xf>
    <xf numFmtId="0" fontId="6" fillId="4" borderId="12" xfId="0" applyFont="1" applyFill="1" applyBorder="1" applyAlignment="1">
      <alignment horizontal="left" indent="3"/>
    </xf>
    <xf numFmtId="0" fontId="5" fillId="3" borderId="1" xfId="0" applyFont="1" applyFill="1" applyBorder="1" applyAlignment="1">
      <alignment horizontal="center" vertical="center"/>
    </xf>
    <xf numFmtId="8" fontId="3" fillId="4" borderId="14" xfId="0" applyNumberFormat="1" applyFont="1" applyFill="1" applyBorder="1" applyAlignment="1">
      <alignment horizontal="left" vertical="center" indent="3"/>
    </xf>
    <xf numFmtId="8" fontId="3" fillId="4" borderId="15" xfId="0" applyNumberFormat="1" applyFont="1" applyFill="1" applyBorder="1" applyAlignment="1">
      <alignment horizontal="left" indent="3"/>
    </xf>
    <xf numFmtId="8" fontId="3" fillId="4" borderId="16" xfId="0" applyNumberFormat="1" applyFont="1" applyFill="1" applyBorder="1" applyAlignment="1">
      <alignment horizontal="left" vertical="center" indent="3"/>
    </xf>
    <xf numFmtId="8" fontId="3" fillId="4" borderId="17" xfId="0" applyNumberFormat="1" applyFont="1" applyFill="1" applyBorder="1" applyAlignment="1">
      <alignment horizontal="left" vertical="center" indent="3"/>
    </xf>
    <xf numFmtId="164" fontId="3" fillId="0" borderId="7" xfId="1" applyNumberFormat="1" applyFont="1" applyBorder="1" applyAlignment="1">
      <alignment horizontal="left" vertical="center" indent="3"/>
    </xf>
    <xf numFmtId="0" fontId="3" fillId="0" borderId="7" xfId="0" applyFont="1" applyBorder="1" applyAlignment="1">
      <alignment horizontal="left" vertical="center" indent="3"/>
    </xf>
    <xf numFmtId="8" fontId="3" fillId="4" borderId="7" xfId="0" applyNumberFormat="1" applyFont="1" applyFill="1" applyBorder="1" applyAlignment="1">
      <alignment horizontal="left" vertical="center" indent="3"/>
    </xf>
    <xf numFmtId="165" fontId="3" fillId="4" borderId="10" xfId="0" applyNumberFormat="1" applyFont="1" applyFill="1" applyBorder="1" applyAlignment="1">
      <alignment horizontal="left" vertical="center" indent="3"/>
    </xf>
    <xf numFmtId="10" fontId="3" fillId="0" borderId="7" xfId="0" applyNumberFormat="1" applyFont="1" applyBorder="1" applyAlignment="1">
      <alignment horizontal="left" vertical="center" indent="3"/>
    </xf>
    <xf numFmtId="0" fontId="0" fillId="5" borderId="0" xfId="0" applyFill="1"/>
    <xf numFmtId="0" fontId="8" fillId="3" borderId="0" xfId="3" applyFon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0" borderId="18" xfId="0" applyBorder="1"/>
    <xf numFmtId="0" fontId="0" fillId="0" borderId="18" xfId="0" applyBorder="1" applyAlignment="1">
      <alignment horizontal="center"/>
    </xf>
    <xf numFmtId="9" fontId="0" fillId="0" borderId="0" xfId="0" applyNumberFormat="1" applyAlignment="1">
      <alignment horizontal="center" vertical="center"/>
    </xf>
    <xf numFmtId="9" fontId="0" fillId="0" borderId="18" xfId="0" applyNumberFormat="1" applyBorder="1" applyAlignment="1">
      <alignment horizontal="center" vertical="center"/>
    </xf>
    <xf numFmtId="164" fontId="3" fillId="0" borderId="7" xfId="0" applyNumberFormat="1" applyFont="1" applyBorder="1" applyAlignment="1">
      <alignment horizontal="left" vertical="center" indent="3"/>
    </xf>
    <xf numFmtId="10" fontId="3" fillId="0" borderId="7" xfId="2" applyNumberFormat="1" applyFont="1" applyBorder="1" applyAlignment="1">
      <alignment horizontal="left" vertical="center" indent="3"/>
    </xf>
    <xf numFmtId="164" fontId="3" fillId="0" borderId="10" xfId="0" applyNumberFormat="1" applyFont="1" applyBorder="1" applyAlignment="1">
      <alignment horizontal="left" vertical="center" indent="3"/>
    </xf>
    <xf numFmtId="9" fontId="0" fillId="0" borderId="0" xfId="2" applyFont="1" applyAlignment="1">
      <alignment horizontal="center"/>
    </xf>
    <xf numFmtId="164" fontId="0" fillId="0" borderId="0" xfId="0" applyNumberFormat="1" applyAlignment="1">
      <alignment horizontal="center" vertical="center"/>
    </xf>
    <xf numFmtId="8" fontId="3" fillId="4" borderId="19" xfId="0" applyNumberFormat="1" applyFont="1" applyFill="1" applyBorder="1" applyAlignment="1">
      <alignment horizontal="left" indent="3"/>
    </xf>
    <xf numFmtId="0" fontId="6" fillId="0" borderId="5" xfId="0" applyFont="1" applyBorder="1" applyAlignment="1">
      <alignment horizontal="left" indent="3"/>
    </xf>
    <xf numFmtId="0" fontId="6" fillId="0" borderId="6" xfId="0" applyFont="1" applyBorder="1" applyAlignment="1">
      <alignment horizontal="left" indent="3"/>
    </xf>
    <xf numFmtId="0" fontId="7" fillId="4" borderId="5" xfId="0" applyFont="1" applyFill="1" applyBorder="1" applyAlignment="1">
      <alignment horizontal="left" indent="3"/>
    </xf>
    <xf numFmtId="0" fontId="7" fillId="4" borderId="6" xfId="0" applyFont="1" applyFill="1" applyBorder="1" applyAlignment="1">
      <alignment horizontal="left" indent="3"/>
    </xf>
    <xf numFmtId="0" fontId="7" fillId="4" borderId="8" xfId="0" applyFont="1" applyFill="1" applyBorder="1" applyAlignment="1">
      <alignment horizontal="left" indent="3"/>
    </xf>
    <xf numFmtId="0" fontId="7" fillId="4" borderId="9" xfId="0" applyFont="1" applyFill="1" applyBorder="1" applyAlignment="1">
      <alignment horizontal="left" indent="3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left" indent="3"/>
    </xf>
    <xf numFmtId="0" fontId="6" fillId="4" borderId="6" xfId="0" applyFont="1" applyFill="1" applyBorder="1" applyAlignment="1">
      <alignment horizontal="left" indent="3"/>
    </xf>
    <xf numFmtId="0" fontId="6" fillId="4" borderId="8" xfId="0" applyFont="1" applyFill="1" applyBorder="1" applyAlignment="1">
      <alignment horizontal="left" indent="3"/>
    </xf>
    <xf numFmtId="0" fontId="6" fillId="4" borderId="9" xfId="0" applyFont="1" applyFill="1" applyBorder="1" applyAlignment="1">
      <alignment horizontal="left" indent="3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PERCENTUAL SUGERIDO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4F0-4570-B6FC-2684F9CD3A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4F0-4570-B6FC-2684F9CD3A9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4F0-4570-B6FC-2684F9CD3A9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4F0-4570-B6FC-2684F9CD3A9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4F0-4570-B6FC-2684F9CD3A9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4F0-4570-B6FC-2684F9CD3A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Inicio!$B$34:$B$39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Inicio!$C$34:$C$39</c:f>
              <c:numCache>
                <c:formatCode>0%</c:formatCode>
                <c:ptCount val="6"/>
                <c:pt idx="0">
                  <c:v>0.32</c:v>
                </c:pt>
                <c:pt idx="1">
                  <c:v>0.4</c:v>
                </c:pt>
                <c:pt idx="2">
                  <c:v>0.05</c:v>
                </c:pt>
                <c:pt idx="3">
                  <c:v>0.05</c:v>
                </c:pt>
                <c:pt idx="4">
                  <c:v>0.08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6-4A61-BE25-C7134C9FA54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247648</xdr:colOff>
      <xdr:row>0</xdr:row>
      <xdr:rowOff>0</xdr:rowOff>
    </xdr:from>
    <xdr:to>
      <xdr:col>4</xdr:col>
      <xdr:colOff>66675</xdr:colOff>
      <xdr:row>8</xdr:row>
      <xdr:rowOff>32205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2E16DFA-D767-4B8B-A8FE-911F87314D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247648" y="0"/>
          <a:ext cx="6153152" cy="1556205"/>
        </a:xfrm>
        <a:prstGeom prst="rect">
          <a:avLst/>
        </a:prstGeom>
      </xdr:spPr>
    </xdr:pic>
    <xdr:clientData/>
  </xdr:twoCellAnchor>
  <xdr:twoCellAnchor>
    <xdr:from>
      <xdr:col>0</xdr:col>
      <xdr:colOff>323850</xdr:colOff>
      <xdr:row>39</xdr:row>
      <xdr:rowOff>109537</xdr:rowOff>
    </xdr:from>
    <xdr:to>
      <xdr:col>4</xdr:col>
      <xdr:colOff>28575</xdr:colOff>
      <xdr:row>53</xdr:row>
      <xdr:rowOff>185737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84C7EB7-0D8E-3A60-5B9C-70AD14FAE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9C3C4-3EF0-4FB0-8DF9-AC0236D647B3}">
  <dimension ref="A9:F66"/>
  <sheetViews>
    <sheetView showGridLines="0" tabSelected="1" zoomScaleNormal="100" workbookViewId="0">
      <selection activeCell="D19" sqref="D19"/>
    </sheetView>
  </sheetViews>
  <sheetFormatPr defaultColWidth="0" defaultRowHeight="15" x14ac:dyDescent="0.25"/>
  <cols>
    <col min="1" max="1" width="5.42578125" customWidth="1"/>
    <col min="2" max="2" width="35.7109375" customWidth="1"/>
    <col min="3" max="3" width="31.28515625" bestFit="1" customWidth="1"/>
    <col min="4" max="4" width="22.5703125" customWidth="1"/>
    <col min="5" max="5" width="3" customWidth="1"/>
    <col min="6" max="6" width="13.5703125" hidden="1" customWidth="1"/>
    <col min="7" max="16384" width="9.140625" hidden="1"/>
  </cols>
  <sheetData>
    <row r="9" spans="2:4" ht="15.75" thickBot="1" x14ac:dyDescent="0.3"/>
    <row r="10" spans="2:4" ht="26.25" x14ac:dyDescent="0.25">
      <c r="B10" s="38" t="s">
        <v>14</v>
      </c>
      <c r="C10" s="39"/>
      <c r="D10" s="40"/>
    </row>
    <row r="11" spans="2:4" ht="17.25" x14ac:dyDescent="0.3">
      <c r="B11" s="41" t="s">
        <v>16</v>
      </c>
      <c r="C11" s="42"/>
      <c r="D11" s="26">
        <v>4200</v>
      </c>
    </row>
    <row r="12" spans="2:4" ht="17.25" x14ac:dyDescent="0.3">
      <c r="B12" s="41" t="s">
        <v>15</v>
      </c>
      <c r="C12" s="42"/>
      <c r="D12" s="27">
        <v>8.0000000000000002E-3</v>
      </c>
    </row>
    <row r="13" spans="2:4" ht="18" thickBot="1" x14ac:dyDescent="0.35">
      <c r="B13" s="43" t="s">
        <v>31</v>
      </c>
      <c r="C13" s="44"/>
      <c r="D13" s="28">
        <f>D11*30%</f>
        <v>1260</v>
      </c>
    </row>
    <row r="14" spans="2:4" ht="15.75" thickBot="1" x14ac:dyDescent="0.3"/>
    <row r="15" spans="2:4" ht="15.75" customHeight="1" x14ac:dyDescent="0.25">
      <c r="B15" s="38" t="s">
        <v>0</v>
      </c>
      <c r="C15" s="39"/>
      <c r="D15" s="40"/>
    </row>
    <row r="16" spans="2:4" ht="26.25" customHeight="1" x14ac:dyDescent="0.25">
      <c r="B16" s="45"/>
      <c r="C16" s="46"/>
      <c r="D16" s="47"/>
    </row>
    <row r="17" spans="1:4" ht="17.25" x14ac:dyDescent="0.3">
      <c r="B17" s="32" t="s">
        <v>1</v>
      </c>
      <c r="C17" s="33"/>
      <c r="D17" s="13">
        <v>200</v>
      </c>
    </row>
    <row r="18" spans="1:4" ht="17.25" x14ac:dyDescent="0.3">
      <c r="B18" s="32" t="s">
        <v>2</v>
      </c>
      <c r="C18" s="33"/>
      <c r="D18" s="14">
        <v>5</v>
      </c>
    </row>
    <row r="19" spans="1:4" ht="19.5" customHeight="1" x14ac:dyDescent="0.3">
      <c r="B19" s="32" t="s">
        <v>3</v>
      </c>
      <c r="C19" s="33"/>
      <c r="D19" s="17">
        <f>redimento_carteira</f>
        <v>8.0000000000000002E-3</v>
      </c>
    </row>
    <row r="20" spans="1:4" ht="19.5" customHeight="1" x14ac:dyDescent="0.3">
      <c r="B20" s="34" t="s">
        <v>4</v>
      </c>
      <c r="C20" s="35"/>
      <c r="D20" s="15">
        <f>FV(redimento_carteira,qtd_anos*12,aporte*-1)</f>
        <v>15324.773366376045</v>
      </c>
    </row>
    <row r="21" spans="1:4" ht="18" thickBot="1" x14ac:dyDescent="0.35">
      <c r="B21" s="36" t="s">
        <v>5</v>
      </c>
      <c r="C21" s="37"/>
      <c r="D21" s="16">
        <f>D20*redimento_carteira</f>
        <v>122.59818693100836</v>
      </c>
    </row>
    <row r="22" spans="1:4" ht="15.75" thickBot="1" x14ac:dyDescent="0.3"/>
    <row r="23" spans="1:4" ht="26.25" x14ac:dyDescent="0.25">
      <c r="B23" s="8" t="s">
        <v>11</v>
      </c>
      <c r="C23" s="8" t="s">
        <v>12</v>
      </c>
      <c r="D23" s="2" t="s">
        <v>13</v>
      </c>
    </row>
    <row r="24" spans="1:4" ht="17.25" x14ac:dyDescent="0.3">
      <c r="A24" s="1">
        <v>2</v>
      </c>
      <c r="B24" s="5" t="s">
        <v>6</v>
      </c>
      <c r="C24" s="9">
        <f>FV(redimento_carteira,$A24*12,$D$17*-1)</f>
        <v>5268.6310222239126</v>
      </c>
      <c r="D24" s="10">
        <f>C24*redimento_carteira</f>
        <v>42.1490481777913</v>
      </c>
    </row>
    <row r="25" spans="1:4" ht="17.25" x14ac:dyDescent="0.3">
      <c r="A25" s="1">
        <v>5</v>
      </c>
      <c r="B25" s="6" t="s">
        <v>7</v>
      </c>
      <c r="C25" s="11">
        <f>FV(redimento_carteira,$A25*12,$D$17*-1)</f>
        <v>15324.773366376045</v>
      </c>
      <c r="D25" s="10">
        <f>C25*redimento_carteira</f>
        <v>122.59818693100836</v>
      </c>
    </row>
    <row r="26" spans="1:4" ht="17.25" x14ac:dyDescent="0.3">
      <c r="A26" s="1">
        <v>10</v>
      </c>
      <c r="B26" s="6" t="s">
        <v>8</v>
      </c>
      <c r="C26" s="11">
        <f>FV(redimento_carteira,$A26*12,$D$17*-1)</f>
        <v>40043.493881983624</v>
      </c>
      <c r="D26" s="10">
        <f>C26*redimento_carteira</f>
        <v>320.34795105586898</v>
      </c>
    </row>
    <row r="27" spans="1:4" ht="17.25" x14ac:dyDescent="0.3">
      <c r="A27" s="1">
        <v>20</v>
      </c>
      <c r="B27" s="6" t="s">
        <v>9</v>
      </c>
      <c r="C27" s="11">
        <f>FV(redimento_carteira,$A27*12,$D$17*-1)</f>
        <v>144226.24385502568</v>
      </c>
      <c r="D27" s="10">
        <f>C27*redimento_carteira</f>
        <v>1153.8099508402054</v>
      </c>
    </row>
    <row r="28" spans="1:4" ht="18" thickBot="1" x14ac:dyDescent="0.35">
      <c r="A28" s="1">
        <v>30</v>
      </c>
      <c r="B28" s="7" t="s">
        <v>10</v>
      </c>
      <c r="C28" s="12">
        <f>FV(redimento_carteira,$A28*12,$D$17*-1)</f>
        <v>415282.64627421706</v>
      </c>
      <c r="D28" s="31">
        <f>C28*redimento_carteira</f>
        <v>3322.2611701937367</v>
      </c>
    </row>
    <row r="30" spans="1:4" ht="17.25" x14ac:dyDescent="0.25">
      <c r="B30" s="19" t="s">
        <v>23</v>
      </c>
      <c r="C30" s="19" t="s">
        <v>25</v>
      </c>
      <c r="D30" s="19"/>
    </row>
    <row r="31" spans="1:4" x14ac:dyDescent="0.25">
      <c r="B31" s="18" t="s">
        <v>24</v>
      </c>
      <c r="C31" s="20">
        <v>200</v>
      </c>
      <c r="D31" s="18"/>
    </row>
    <row r="33" spans="2:4" ht="17.25" x14ac:dyDescent="0.25">
      <c r="B33" s="21" t="s">
        <v>27</v>
      </c>
      <c r="C33" s="21" t="s">
        <v>29</v>
      </c>
      <c r="D33" s="21" t="s">
        <v>28</v>
      </c>
    </row>
    <row r="34" spans="2:4" x14ac:dyDescent="0.25">
      <c r="B34" s="3" t="s">
        <v>17</v>
      </c>
      <c r="C34" s="29">
        <f>VLOOKUP($C$30&amp;"-"&amp;B34,chaves!A:D,4,FALSE)</f>
        <v>0.32</v>
      </c>
      <c r="D34" s="30">
        <f>$C$31*C34</f>
        <v>64</v>
      </c>
    </row>
    <row r="35" spans="2:4" x14ac:dyDescent="0.25">
      <c r="B35" s="3" t="s">
        <v>18</v>
      </c>
      <c r="C35" s="29">
        <f>VLOOKUP($C$30&amp;"-"&amp;B35,chaves!A:D,4,FALSE)</f>
        <v>0.4</v>
      </c>
      <c r="D35" s="30">
        <f t="shared" ref="D35:D39" si="0">$C$31*C35</f>
        <v>80</v>
      </c>
    </row>
    <row r="36" spans="2:4" x14ac:dyDescent="0.25">
      <c r="B36" s="3" t="s">
        <v>19</v>
      </c>
      <c r="C36" s="29">
        <f>VLOOKUP($C$30&amp;"-"&amp;B36,chaves!A:D,4,FALSE)</f>
        <v>0.05</v>
      </c>
      <c r="D36" s="30">
        <f t="shared" si="0"/>
        <v>10</v>
      </c>
    </row>
    <row r="37" spans="2:4" x14ac:dyDescent="0.25">
      <c r="B37" s="3" t="s">
        <v>20</v>
      </c>
      <c r="C37" s="29">
        <f>VLOOKUP($C$30&amp;"-"&amp;B37,chaves!A:D,4,FALSE)</f>
        <v>0.05</v>
      </c>
      <c r="D37" s="30">
        <f t="shared" si="0"/>
        <v>10</v>
      </c>
    </row>
    <row r="38" spans="2:4" x14ac:dyDescent="0.25">
      <c r="B38" s="3" t="s">
        <v>21</v>
      </c>
      <c r="C38" s="29">
        <f>VLOOKUP($C$30&amp;"-"&amp;B38,chaves!A:D,4,FALSE)</f>
        <v>0.08</v>
      </c>
      <c r="D38" s="30">
        <f t="shared" si="0"/>
        <v>16</v>
      </c>
    </row>
    <row r="39" spans="2:4" x14ac:dyDescent="0.25">
      <c r="B39" s="3" t="s">
        <v>22</v>
      </c>
      <c r="C39" s="29">
        <f>VLOOKUP($C$30&amp;"-"&amp;B39,chaves!A:D,4,FALSE)</f>
        <v>0.1</v>
      </c>
      <c r="D39" s="30">
        <f t="shared" si="0"/>
        <v>20</v>
      </c>
    </row>
    <row r="40" spans="2:4" x14ac:dyDescent="0.25">
      <c r="C40" s="3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</sheetData>
  <mergeCells count="10">
    <mergeCell ref="B10:D10"/>
    <mergeCell ref="B11:C11"/>
    <mergeCell ref="B12:C12"/>
    <mergeCell ref="B13:C13"/>
    <mergeCell ref="B15:D16"/>
    <mergeCell ref="B17:C17"/>
    <mergeCell ref="B18:C18"/>
    <mergeCell ref="B19:C19"/>
    <mergeCell ref="B20:C20"/>
    <mergeCell ref="B21:C21"/>
  </mergeCells>
  <dataValidations count="1">
    <dataValidation type="list" allowBlank="1" showInputMessage="1" showErrorMessage="1" sqref="C30" xr:uid="{74F3BFA1-7387-467A-B4F1-B491B96616F7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8C4F-43C5-4CD5-A565-3E3094EEDD41}">
  <dimension ref="A2:D21"/>
  <sheetViews>
    <sheetView workbookViewId="0">
      <selection activeCell="D20" sqref="A2:D20"/>
    </sheetView>
  </sheetViews>
  <sheetFormatPr defaultRowHeight="15" x14ac:dyDescent="0.25"/>
  <cols>
    <col min="1" max="1" width="31.28515625" bestFit="1" customWidth="1"/>
    <col min="2" max="2" width="13.140625" customWidth="1"/>
    <col min="3" max="3" width="19.85546875" customWidth="1"/>
    <col min="4" max="4" width="9.5703125" bestFit="1" customWidth="1"/>
  </cols>
  <sheetData>
    <row r="2" spans="1:4" x14ac:dyDescent="0.25">
      <c r="A2" s="4" t="s">
        <v>32</v>
      </c>
      <c r="B2" s="4" t="s">
        <v>33</v>
      </c>
      <c r="C2" s="4" t="s">
        <v>34</v>
      </c>
      <c r="D2" s="4" t="s">
        <v>35</v>
      </c>
    </row>
    <row r="3" spans="1:4" x14ac:dyDescent="0.25">
      <c r="A3" t="str">
        <f>B3&amp;"-"&amp;C3</f>
        <v>Conservador-PAPEL</v>
      </c>
      <c r="B3" t="s">
        <v>26</v>
      </c>
      <c r="C3" s="3" t="s">
        <v>17</v>
      </c>
      <c r="D3" s="24">
        <v>0.3</v>
      </c>
    </row>
    <row r="4" spans="1:4" x14ac:dyDescent="0.25">
      <c r="A4" t="str">
        <f t="shared" ref="A4:A20" si="0">B4&amp;"-"&amp;C4</f>
        <v>Conservador-TIJOLO</v>
      </c>
      <c r="B4" t="s">
        <v>26</v>
      </c>
      <c r="C4" s="3" t="s">
        <v>18</v>
      </c>
      <c r="D4" s="24">
        <v>0.5</v>
      </c>
    </row>
    <row r="5" spans="1:4" x14ac:dyDescent="0.25">
      <c r="A5" t="str">
        <f t="shared" si="0"/>
        <v>Conservador-HÍBRIDOS</v>
      </c>
      <c r="B5" t="s">
        <v>26</v>
      </c>
      <c r="C5" s="3" t="s">
        <v>19</v>
      </c>
      <c r="D5" s="24">
        <v>0.1</v>
      </c>
    </row>
    <row r="6" spans="1:4" x14ac:dyDescent="0.25">
      <c r="A6" t="str">
        <f t="shared" si="0"/>
        <v>Conservador-FOFs</v>
      </c>
      <c r="B6" t="s">
        <v>26</v>
      </c>
      <c r="C6" s="3" t="s">
        <v>20</v>
      </c>
      <c r="D6" s="24">
        <v>0.1</v>
      </c>
    </row>
    <row r="7" spans="1:4" x14ac:dyDescent="0.25">
      <c r="A7" t="str">
        <f t="shared" si="0"/>
        <v>Conservador-DESENVOLVIMENTO</v>
      </c>
      <c r="B7" t="s">
        <v>26</v>
      </c>
      <c r="C7" s="3" t="s">
        <v>21</v>
      </c>
      <c r="D7" s="24">
        <v>0</v>
      </c>
    </row>
    <row r="8" spans="1:4" ht="15.75" thickBot="1" x14ac:dyDescent="0.3">
      <c r="A8" s="22" t="str">
        <f t="shared" si="0"/>
        <v>Conservador-HOTELARIAS</v>
      </c>
      <c r="B8" s="22" t="s">
        <v>26</v>
      </c>
      <c r="C8" s="23" t="s">
        <v>22</v>
      </c>
      <c r="D8" s="25">
        <v>0</v>
      </c>
    </row>
    <row r="9" spans="1:4" ht="15.75" thickTop="1" x14ac:dyDescent="0.25">
      <c r="A9" t="str">
        <f>B9&amp;"-"&amp;C9</f>
        <v>Moderado-PAPEL</v>
      </c>
      <c r="B9" t="s">
        <v>25</v>
      </c>
      <c r="C9" s="3" t="s">
        <v>17</v>
      </c>
      <c r="D9" s="24">
        <v>0.32</v>
      </c>
    </row>
    <row r="10" spans="1:4" x14ac:dyDescent="0.25">
      <c r="A10" t="str">
        <f t="shared" si="0"/>
        <v>Moderado-TIJOLO</v>
      </c>
      <c r="B10" t="s">
        <v>25</v>
      </c>
      <c r="C10" s="3" t="s">
        <v>18</v>
      </c>
      <c r="D10" s="24">
        <v>0.4</v>
      </c>
    </row>
    <row r="11" spans="1:4" x14ac:dyDescent="0.25">
      <c r="A11" t="str">
        <f t="shared" si="0"/>
        <v>Moderado-HÍBRIDOS</v>
      </c>
      <c r="B11" t="s">
        <v>25</v>
      </c>
      <c r="C11" s="3" t="s">
        <v>19</v>
      </c>
      <c r="D11" s="24">
        <v>0.05</v>
      </c>
    </row>
    <row r="12" spans="1:4" x14ac:dyDescent="0.25">
      <c r="A12" t="str">
        <f t="shared" si="0"/>
        <v>Moderado-FOFs</v>
      </c>
      <c r="B12" t="s">
        <v>25</v>
      </c>
      <c r="C12" s="3" t="s">
        <v>20</v>
      </c>
      <c r="D12" s="24">
        <v>0.05</v>
      </c>
    </row>
    <row r="13" spans="1:4" x14ac:dyDescent="0.25">
      <c r="A13" t="str">
        <f t="shared" si="0"/>
        <v>Moderado-DESENVOLVIMENTO</v>
      </c>
      <c r="B13" t="s">
        <v>25</v>
      </c>
      <c r="C13" s="3" t="s">
        <v>21</v>
      </c>
      <c r="D13" s="24">
        <v>0.08</v>
      </c>
    </row>
    <row r="14" spans="1:4" ht="15.75" thickBot="1" x14ac:dyDescent="0.3">
      <c r="A14" s="22" t="str">
        <f t="shared" si="0"/>
        <v>Moderado-HOTELARIAS</v>
      </c>
      <c r="B14" s="22" t="s">
        <v>25</v>
      </c>
      <c r="C14" s="23" t="s">
        <v>22</v>
      </c>
      <c r="D14" s="25">
        <v>0.1</v>
      </c>
    </row>
    <row r="15" spans="1:4" ht="15.75" thickTop="1" x14ac:dyDescent="0.25">
      <c r="A15" t="str">
        <f>B15&amp;"-"&amp;C15</f>
        <v>Agressivo-PAPEL</v>
      </c>
      <c r="B15" t="s">
        <v>30</v>
      </c>
      <c r="C15" s="3" t="s">
        <v>17</v>
      </c>
      <c r="D15" s="24">
        <v>0.5</v>
      </c>
    </row>
    <row r="16" spans="1:4" x14ac:dyDescent="0.25">
      <c r="A16" t="str">
        <f t="shared" si="0"/>
        <v>Agressivo-TIJOLO</v>
      </c>
      <c r="B16" t="s">
        <v>30</v>
      </c>
      <c r="C16" s="3" t="s">
        <v>18</v>
      </c>
      <c r="D16" s="24">
        <v>0.1</v>
      </c>
    </row>
    <row r="17" spans="1:4" x14ac:dyDescent="0.25">
      <c r="A17" t="str">
        <f t="shared" si="0"/>
        <v>Agressivo-HÍBRIDOS</v>
      </c>
      <c r="B17" t="s">
        <v>30</v>
      </c>
      <c r="C17" s="3" t="s">
        <v>19</v>
      </c>
      <c r="D17" s="24">
        <v>0.05</v>
      </c>
    </row>
    <row r="18" spans="1:4" x14ac:dyDescent="0.25">
      <c r="A18" t="str">
        <f t="shared" si="0"/>
        <v>Agressivo-FOFs</v>
      </c>
      <c r="B18" t="s">
        <v>30</v>
      </c>
      <c r="C18" s="3" t="s">
        <v>20</v>
      </c>
      <c r="D18" s="24">
        <v>0.05</v>
      </c>
    </row>
    <row r="19" spans="1:4" x14ac:dyDescent="0.25">
      <c r="A19" t="str">
        <f t="shared" si="0"/>
        <v>Agressivo-DESENVOLVIMENTO</v>
      </c>
      <c r="B19" t="s">
        <v>30</v>
      </c>
      <c r="C19" s="3" t="s">
        <v>21</v>
      </c>
      <c r="D19" s="24">
        <v>0.2</v>
      </c>
    </row>
    <row r="20" spans="1:4" ht="15.75" thickBot="1" x14ac:dyDescent="0.3">
      <c r="A20" s="22" t="str">
        <f t="shared" si="0"/>
        <v>Agressivo-HOTELARIAS</v>
      </c>
      <c r="B20" s="22" t="s">
        <v>30</v>
      </c>
      <c r="C20" s="23" t="s">
        <v>22</v>
      </c>
      <c r="D20" s="25">
        <v>0.1</v>
      </c>
    </row>
    <row r="21" spans="1:4" ht="15.75" thickTop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Inicio</vt:lpstr>
      <vt:lpstr>chaves</vt:lpstr>
      <vt:lpstr>aporte</vt:lpstr>
      <vt:lpstr>qtd_anos</vt:lpstr>
      <vt:lpstr>redimento_carteira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Araujo</dc:creator>
  <cp:lastModifiedBy>Guilherme Araujo</cp:lastModifiedBy>
  <dcterms:created xsi:type="dcterms:W3CDTF">2026-09-13T14:21:26Z</dcterms:created>
  <dcterms:modified xsi:type="dcterms:W3CDTF">2026-09-17T22:30:50Z</dcterms:modified>
</cp:coreProperties>
</file>